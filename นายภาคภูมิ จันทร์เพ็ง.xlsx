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 ProBook 640 G8\Downloads\"/>
    </mc:Choice>
  </mc:AlternateContent>
  <xr:revisionPtr revIDLastSave="0" documentId="13_ncr:1_{BFE8EA04-23EF-41CA-B3BF-11A41117411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ระบบบันทึกค่าใช้จ่ายรายวัน" sheetId="1" r:id="rId1"/>
    <sheet name="ระบบจัดการสต๊อกสินค้า" sheetId="2" r:id="rId2"/>
    <sheet name="ผลรวมและค่าเกรดเฉลี่นนักเรียน" sheetId="3" r:id="rId3"/>
  </sheets>
  <calcPr calcId="191029"/>
  <extLst>
    <ext uri="GoogleSheetsCustomDataVersion2">
      <go:sheetsCustomData xmlns:go="http://customooxmlschemas.google.com/" r:id="rId8" roundtripDataChecksum="2fOqINq3AsUaFKkTFMrrTc+rloQ8gTvkNqDO/9Wy+rk="/>
    </ext>
  </extLst>
</workbook>
</file>

<file path=xl/calcChain.xml><?xml version="1.0" encoding="utf-8"?>
<calcChain xmlns="http://schemas.openxmlformats.org/spreadsheetml/2006/main">
  <c r="M13" i="3" l="1"/>
  <c r="M11" i="3"/>
  <c r="I6" i="3"/>
  <c r="J6" i="3" s="1"/>
  <c r="I7" i="3"/>
  <c r="J7" i="3"/>
  <c r="I8" i="3"/>
  <c r="J8" i="3"/>
  <c r="I9" i="3"/>
  <c r="J9" i="3"/>
  <c r="I10" i="3"/>
  <c r="J10" i="3"/>
  <c r="I11" i="3"/>
  <c r="J11" i="3"/>
  <c r="I12" i="3"/>
  <c r="J12" i="3" s="1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D11" i="1"/>
  <c r="I5" i="3"/>
  <c r="J5" i="3" s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M5" i="2"/>
  <c r="L5" i="2"/>
  <c r="K5" i="2"/>
  <c r="E5" i="2"/>
  <c r="D6" i="1"/>
  <c r="D7" i="1" s="1"/>
  <c r="D8" i="1" s="1"/>
  <c r="D9" i="1" s="1"/>
  <c r="D10" i="1" s="1"/>
</calcChain>
</file>

<file path=xl/sharedStrings.xml><?xml version="1.0" encoding="utf-8"?>
<sst xmlns="http://schemas.openxmlformats.org/spreadsheetml/2006/main" count="93" uniqueCount="88">
  <si>
    <t>วันที่</t>
  </si>
  <si>
    <t>สินค้าที่ใช้จ่าย</t>
  </si>
  <si>
    <t>จำนวนเงิน</t>
  </si>
  <si>
    <t>รวมทั้งวัน</t>
  </si>
  <si>
    <t>ข้าวเช้า</t>
  </si>
  <si>
    <t>น้ำปล่า</t>
  </si>
  <si>
    <t>ข้าวกลางวัน</t>
  </si>
  <si>
    <t>น้ำโค้ก</t>
  </si>
  <si>
    <t>ค่าไฟ</t>
  </si>
  <si>
    <t>ทุเรียน</t>
  </si>
  <si>
    <t>ระบบจัดการสต๊อกสินค้า</t>
  </si>
  <si>
    <t>รหัสสินค้า</t>
  </si>
  <si>
    <t>ชื่อสินค้า</t>
  </si>
  <si>
    <t>จำนวนคงเหลือ</t>
  </si>
  <si>
    <t>จุดสั่งชื้อขั้นต่ำ</t>
  </si>
  <si>
    <t>สถานะ</t>
  </si>
  <si>
    <t>P001</t>
  </si>
  <si>
    <t>ปากกา</t>
  </si>
  <si>
    <t>P020</t>
  </si>
  <si>
    <t>P002</t>
  </si>
  <si>
    <t>ปากกาไวท์บอร์ด</t>
  </si>
  <si>
    <t>P003</t>
  </si>
  <si>
    <t>ปากกาเจล</t>
  </si>
  <si>
    <t>P004</t>
  </si>
  <si>
    <t>ดินสอ</t>
  </si>
  <si>
    <t>P005</t>
  </si>
  <si>
    <t>ดินสอ 2B</t>
  </si>
  <si>
    <t>P006</t>
  </si>
  <si>
    <t>ดินสอกด</t>
  </si>
  <si>
    <t>P007</t>
  </si>
  <si>
    <t>สมุด</t>
  </si>
  <si>
    <t>P008</t>
  </si>
  <si>
    <t>สมุดบันทึก</t>
  </si>
  <si>
    <t>P009</t>
  </si>
  <si>
    <t>สมุดโน้ต</t>
  </si>
  <si>
    <t>P010</t>
  </si>
  <si>
    <t>ยางลบ</t>
  </si>
  <si>
    <t>P011</t>
  </si>
  <si>
    <t>ไม้บรรทัด</t>
  </si>
  <si>
    <t>P012</t>
  </si>
  <si>
    <t>กระดาษ a4</t>
  </si>
  <si>
    <t>P013</t>
  </si>
  <si>
    <t>กระดาษสี</t>
  </si>
  <si>
    <t>P014</t>
  </si>
  <si>
    <t>กระดาษหน้าปก</t>
  </si>
  <si>
    <t>P015</t>
  </si>
  <si>
    <t>กรรไกร</t>
  </si>
  <si>
    <t>P016</t>
  </si>
  <si>
    <t>กาวน้ำ</t>
  </si>
  <si>
    <t>P017</t>
  </si>
  <si>
    <t>กาวสองหน้า</t>
  </si>
  <si>
    <t>P018</t>
  </si>
  <si>
    <t>กาวแท่ง</t>
  </si>
  <si>
    <t>P019</t>
  </si>
  <si>
    <t>สีเมจิก</t>
  </si>
  <si>
    <t>สีไม้</t>
  </si>
  <si>
    <t>รหัสนักเรียน</t>
  </si>
  <si>
    <t>รายชื่อนักเรียน</t>
  </si>
  <si>
    <t>วิชาภาษาไทย</t>
  </si>
  <si>
    <t>วิชาภาษาอังกฤษ</t>
  </si>
  <si>
    <t>วิชาคณิตศาสตร์</t>
  </si>
  <si>
    <t>วิชาพละ</t>
  </si>
  <si>
    <t>วิชาดนตรี</t>
  </si>
  <si>
    <t>วิชาศิลปะ</t>
  </si>
  <si>
    <t>ผลรวม</t>
  </si>
  <si>
    <t>เกรดเฉลี่ยนักเรียน</t>
  </si>
  <si>
    <t>เด็กชายภาคภูมิ</t>
  </si>
  <si>
    <t>เด็กชายนันทกานต์</t>
  </si>
  <si>
    <t>เด็กชายมงคล</t>
  </si>
  <si>
    <t>เด็กหญิงเจนจิรา</t>
  </si>
  <si>
    <t>เด็กชายสมกานต์</t>
  </si>
  <si>
    <t>เด็กหญิงสุนิตา</t>
  </si>
  <si>
    <t>เด็กหญิงขวัญชนก</t>
  </si>
  <si>
    <t>เด็กหญิงสุนิศา</t>
  </si>
  <si>
    <t>เด็กหญิงมินตรา</t>
  </si>
  <si>
    <t>เด็กหญิงพิชญา</t>
  </si>
  <si>
    <t>เด็กหญิงชลนิชา</t>
  </si>
  <si>
    <t>เด็กหญิงอัญชลี</t>
  </si>
  <si>
    <t>เด็กชายอรรถวิทย์</t>
  </si>
  <si>
    <t>เด็กชายชาญชัย</t>
  </si>
  <si>
    <t>เด็กชายปฐวี</t>
  </si>
  <si>
    <t>เด็กชายวิโรจน์</t>
  </si>
  <si>
    <t>เด็กชายสงกรานต์</t>
  </si>
  <si>
    <t>คันหาข้อมูล</t>
  </si>
  <si>
    <t>ผลรวมและค่าเกรดเฉลี่นนักเรียน</t>
  </si>
  <si>
    <t>ระบบบันทึกค่าใช้จ่าย</t>
  </si>
  <si>
    <t>ค่ามากที่สุด</t>
  </si>
  <si>
    <t>ค่าน้อยที่สุด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</si>
</sst>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/m/yyyy"/>
    <numFmt numFmtId="170" formatCode="_(* #,##0.0_);_(* \(#,##0.0\);_(* &quot;-&quot;??_);_(@_)"/>
  </numFmts>
  <fonts count="19">
    <font>
      <sz val="11"/>
      <color theme="1"/>
      <name val="Calibri"/>
      <scheme val="minor"/>
    </font>
    <font>
      <sz val="14"/>
      <color theme="1"/>
      <name val="Calibri"/>
    </font>
    <font>
      <sz val="28"/>
      <color rgb="FF000000"/>
      <name val="Arial"/>
    </font>
    <font>
      <sz val="11"/>
      <name val="Calibri"/>
    </font>
    <font>
      <sz val="16"/>
      <color rgb="FF000000"/>
      <name val="Arial"/>
    </font>
    <font>
      <sz val="16"/>
      <color theme="1"/>
      <name val="Arial"/>
    </font>
    <font>
      <b/>
      <sz val="16"/>
      <color theme="1"/>
      <name val="Calibri"/>
    </font>
    <font>
      <sz val="14"/>
      <color theme="1"/>
      <name val="Arial"/>
    </font>
    <font>
      <sz val="11"/>
      <color theme="1"/>
      <name val="Calibri"/>
      <scheme val="minor"/>
    </font>
    <font>
      <sz val="28"/>
      <color theme="1"/>
      <name val="Arial"/>
      <family val="2"/>
    </font>
    <font>
      <sz val="14"/>
      <color theme="1"/>
      <name val="Calibri"/>
      <family val="2"/>
    </font>
    <font>
      <sz val="16"/>
      <color theme="1"/>
      <name val="Arial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rgb="FFFF0000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6" fillId="2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4" borderId="13" xfId="0" applyFont="1" applyFill="1" applyBorder="1"/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0" xfId="0" applyFont="1" applyBorder="1"/>
    <xf numFmtId="0" fontId="15" fillId="0" borderId="6" xfId="0" applyFont="1" applyBorder="1"/>
    <xf numFmtId="0" fontId="14" fillId="0" borderId="6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0" fontId="1" fillId="0" borderId="0" xfId="1" applyNumberFormat="1" applyFont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0" fillId="0" borderId="4" xfId="0" applyBorder="1"/>
  </cellXfs>
  <cellStyles count="2">
    <cellStyle name="Comma" xfId="1" builtinId="3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4" formatCode="d/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th-TH" sz="1600" b="1" i="0">
                <a:solidFill>
                  <a:schemeClr val="lt1"/>
                </a:solidFill>
                <a:latin typeface="+mn-lt"/>
              </a:rPr>
              <a:t>ระบบจัดการสต๊อกสินค้า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ระบบจัดการสต๊อกสินค้า!$A$5:$A$24</c:f>
              <c:strCache>
                <c:ptCount val="2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  <c:pt idx="12">
                  <c:v>P013</c:v>
                </c:pt>
                <c:pt idx="13">
                  <c:v>P014</c:v>
                </c:pt>
                <c:pt idx="14">
                  <c:v>P015</c:v>
                </c:pt>
                <c:pt idx="15">
                  <c:v>P016</c:v>
                </c:pt>
                <c:pt idx="16">
                  <c:v>P017</c:v>
                </c:pt>
                <c:pt idx="17">
                  <c:v>P018</c:v>
                </c:pt>
                <c:pt idx="18">
                  <c:v>P019</c:v>
                </c:pt>
                <c:pt idx="19">
                  <c:v>P020</c:v>
                </c:pt>
              </c:strCache>
            </c:strRef>
          </c:cat>
          <c:val>
            <c:numRef>
              <c:f>ระบบจัดการสต๊อกสินค้า!$C$5:$C$24</c:f>
              <c:numCache>
                <c:formatCode>General</c:formatCode>
                <c:ptCount val="20"/>
                <c:pt idx="0">
                  <c:v>250</c:v>
                </c:pt>
                <c:pt idx="1">
                  <c:v>120</c:v>
                </c:pt>
                <c:pt idx="2">
                  <c:v>80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85</c:v>
                </c:pt>
                <c:pt idx="7">
                  <c:v>35</c:v>
                </c:pt>
                <c:pt idx="8">
                  <c:v>40</c:v>
                </c:pt>
                <c:pt idx="9">
                  <c:v>120</c:v>
                </c:pt>
                <c:pt idx="10">
                  <c:v>45</c:v>
                </c:pt>
                <c:pt idx="11">
                  <c:v>60</c:v>
                </c:pt>
                <c:pt idx="12">
                  <c:v>40</c:v>
                </c:pt>
                <c:pt idx="13">
                  <c:v>30</c:v>
                </c:pt>
                <c:pt idx="14">
                  <c:v>50</c:v>
                </c:pt>
                <c:pt idx="15">
                  <c:v>20</c:v>
                </c:pt>
                <c:pt idx="16">
                  <c:v>45</c:v>
                </c:pt>
                <c:pt idx="17">
                  <c:v>62</c:v>
                </c:pt>
                <c:pt idx="18">
                  <c:v>84</c:v>
                </c:pt>
                <c:pt idx="19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9F-4370-96D9-0C363F2998CB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ระบบจัดการสต๊อกสินค้า!$A$5:$A$24</c:f>
              <c:strCache>
                <c:ptCount val="2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  <c:pt idx="12">
                  <c:v>P013</c:v>
                </c:pt>
                <c:pt idx="13">
                  <c:v>P014</c:v>
                </c:pt>
                <c:pt idx="14">
                  <c:v>P015</c:v>
                </c:pt>
                <c:pt idx="15">
                  <c:v>P016</c:v>
                </c:pt>
                <c:pt idx="16">
                  <c:v>P017</c:v>
                </c:pt>
                <c:pt idx="17">
                  <c:v>P018</c:v>
                </c:pt>
                <c:pt idx="18">
                  <c:v>P019</c:v>
                </c:pt>
                <c:pt idx="19">
                  <c:v>P020</c:v>
                </c:pt>
              </c:strCache>
            </c:strRef>
          </c:cat>
          <c:val>
            <c:numRef>
              <c:f>ระบบจัดการสต๊อกสินค้า!$D$5:$D$24</c:f>
              <c:numCache>
                <c:formatCode>General</c:formatCode>
                <c:ptCount val="2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29F-4370-96D9-0C363F2998CB}"/>
            </c:ext>
          </c:extLst>
        </c:ser>
        <c:ser>
          <c:idx val="2"/>
          <c:order val="2"/>
          <c:invertIfNegative val="1"/>
          <c:cat>
            <c:strRef>
              <c:f>ระบบจัดการสต๊อกสินค้า!$A$5:$A$24</c:f>
              <c:strCache>
                <c:ptCount val="20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  <c:pt idx="12">
                  <c:v>P013</c:v>
                </c:pt>
                <c:pt idx="13">
                  <c:v>P014</c:v>
                </c:pt>
                <c:pt idx="14">
                  <c:v>P015</c:v>
                </c:pt>
                <c:pt idx="15">
                  <c:v>P016</c:v>
                </c:pt>
                <c:pt idx="16">
                  <c:v>P017</c:v>
                </c:pt>
                <c:pt idx="17">
                  <c:v>P018</c:v>
                </c:pt>
                <c:pt idx="18">
                  <c:v>P019</c:v>
                </c:pt>
                <c:pt idx="19">
                  <c:v>P020</c:v>
                </c:pt>
              </c:strCache>
            </c:strRef>
          </c:cat>
          <c:val>
            <c:numRef>
              <c:f>ระบบจัดการสต๊อกสินค้า!$E$5:$E$24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F-4370-96D9-0C363F299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8182859"/>
        <c:axId val="250997551"/>
      </c:barChart>
      <c:catAx>
        <c:axId val="1468182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50997551"/>
        <c:crosses val="autoZero"/>
        <c:auto val="1"/>
        <c:lblAlgn val="ctr"/>
        <c:lblOffset val="100"/>
        <c:noMultiLvlLbl val="1"/>
      </c:catAx>
      <c:valAx>
        <c:axId val="250997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468182859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295275</xdr:colOff>
      <xdr:row>7</xdr:row>
      <xdr:rowOff>203200</xdr:rowOff>
    </xdr:from>
    <xdr:ext cx="8861426" cy="4200524"/>
    <xdr:graphicFrame macro="">
      <xdr:nvGraphicFramePr>
        <xdr:cNvPr id="390138701" name="Chart 1">
          <a:extLst>
            <a:ext uri="{FF2B5EF4-FFF2-40B4-BE49-F238E27FC236}">
              <a16:creationId xmlns:a16="http://schemas.microsoft.com/office/drawing/2014/main" id="{00000000-0008-0000-0100-00004D0B4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5</xdr:col>
      <xdr:colOff>390072</xdr:colOff>
      <xdr:row>4</xdr:row>
      <xdr:rowOff>45357</xdr:rowOff>
    </xdr:from>
    <xdr:to>
      <xdr:col>8</xdr:col>
      <xdr:colOff>190500</xdr:colOff>
      <xdr:row>6</xdr:row>
      <xdr:rowOff>9071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47DE169E-26B7-888F-1B5E-AD8D52A2D8A2}"/>
            </a:ext>
          </a:extLst>
        </xdr:cNvPr>
        <xdr:cNvSpPr/>
      </xdr:nvSpPr>
      <xdr:spPr>
        <a:xfrm>
          <a:off x="7547429" y="1469571"/>
          <a:ext cx="1360714" cy="471714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200" b="1">
              <a:solidFill>
                <a:sysClr val="windowText" lastClr="000000"/>
              </a:solidFill>
            </a:rPr>
            <a:t>ช่องใส่รหัสสินค้า</a:t>
          </a:r>
          <a:r>
            <a:rPr lang="th-TH" sz="1200" b="1" baseline="0">
              <a:solidFill>
                <a:sysClr val="windowText" lastClr="000000"/>
              </a:solidFill>
            </a:rPr>
            <a:t> คันหาข้อมูล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308429</xdr:colOff>
      <xdr:row>4</xdr:row>
      <xdr:rowOff>190500</xdr:rowOff>
    </xdr:from>
    <xdr:to>
      <xdr:col>8</xdr:col>
      <xdr:colOff>508000</xdr:colOff>
      <xdr:row>5</xdr:row>
      <xdr:rowOff>99785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D4E1E236-1D07-33F6-EC61-E4054CE574FB}"/>
            </a:ext>
          </a:extLst>
        </xdr:cNvPr>
        <xdr:cNvSpPr/>
      </xdr:nvSpPr>
      <xdr:spPr>
        <a:xfrm>
          <a:off x="9026072" y="1614714"/>
          <a:ext cx="199571" cy="16328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422729</xdr:colOff>
      <xdr:row>0</xdr:row>
      <xdr:rowOff>6350</xdr:rowOff>
    </xdr:from>
    <xdr:to>
      <xdr:col>11</xdr:col>
      <xdr:colOff>1034142</xdr:colOff>
      <xdr:row>7</xdr:row>
      <xdr:rowOff>116115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EF0D02D5-A806-5030-1124-E20006B5D2E0}"/>
            </a:ext>
          </a:extLst>
        </xdr:cNvPr>
        <xdr:cNvSpPr/>
      </xdr:nvSpPr>
      <xdr:spPr>
        <a:xfrm>
          <a:off x="9584872" y="6350"/>
          <a:ext cx="1219199" cy="1406979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A =</a:t>
          </a:r>
          <a:r>
            <a:rPr lang="th-TH" sz="1100" baseline="0">
              <a:solidFill>
                <a:sysClr val="windowText" lastClr="000000"/>
              </a:solidFill>
            </a:rPr>
            <a:t> ดีมาก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B =  </a:t>
          </a:r>
          <a:r>
            <a:rPr lang="th-TH" sz="1100" baseline="0">
              <a:solidFill>
                <a:sysClr val="windowText" lastClr="000000"/>
              </a:solidFill>
            </a:rPr>
            <a:t>ดี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 =</a:t>
          </a:r>
          <a:r>
            <a:rPr lang="th-TH" sz="1100" baseline="0">
              <a:solidFill>
                <a:sysClr val="windowText" lastClr="000000"/>
              </a:solidFill>
            </a:rPr>
            <a:t> ปานกลาง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 =</a:t>
          </a:r>
          <a:r>
            <a:rPr lang="th-TH" sz="1100" baseline="0">
              <a:solidFill>
                <a:sysClr val="windowText" lastClr="000000"/>
              </a:solidFill>
            </a:rPr>
            <a:t> พอใช้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E =</a:t>
          </a:r>
          <a:r>
            <a:rPr lang="th-TH" sz="1100" baseline="0">
              <a:solidFill>
                <a:sysClr val="windowText" lastClr="000000"/>
              </a:solidFill>
            </a:rPr>
            <a:t>  ซ่อม/แก้ไข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E9BC6-2C7D-49F1-8F87-7314AB4BF0B8}" name="Table1" displayName="Table1" ref="A5:D25" totalsRowShown="0" headerRowDxfId="0" dataDxfId="24">
  <autoFilter ref="A5:D25" xr:uid="{10BE9BC6-2C7D-49F1-8F87-7314AB4BF0B8}"/>
  <tableColumns count="4">
    <tableColumn id="1" xr3:uid="{DE1DD19E-890B-4E9E-AC52-2E504954F4C4}" name="วันที่" dataDxfId="28"/>
    <tableColumn id="2" xr3:uid="{5657410D-C3AD-43C5-A19C-8F7477635CA1}" name="สินค้าที่ใช้จ่าย" dataDxfId="27"/>
    <tableColumn id="3" xr3:uid="{5C5032CC-94BD-4884-84A0-AEA437F997A1}" name="จำนวนเงิน" dataDxfId="26"/>
    <tableColumn id="4" xr3:uid="{9B19F470-8999-46D7-A568-9B167A12A9B8}" name="รวมทั้งวัน" dataDxfId="25">
      <calculatedColumnFormula>SUM(D5+C6)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C6D9D9-D11E-4C96-B1C1-FE7AE036AE37}" name="Table2" displayName="Table2" ref="A4:E24" totalsRowShown="0" headerRowDxfId="15" dataDxfId="16" headerRowBorderDxfId="22" tableBorderDxfId="23">
  <autoFilter ref="A4:E24" xr:uid="{10C6D9D9-D11E-4C96-B1C1-FE7AE036AE37}"/>
  <tableColumns count="5">
    <tableColumn id="1" xr3:uid="{CCFAB50B-E49E-47FF-B708-61539D89C48C}" name="รหัสสินค้า" dataDxfId="21"/>
    <tableColumn id="2" xr3:uid="{64604381-E597-4578-B764-5B8864E06DEB}" name="ชื่อสินค้า" dataDxfId="20"/>
    <tableColumn id="3" xr3:uid="{0FF9F336-3C14-488E-8927-121C3040D83E}" name="จำนวนคงเหลือ" dataDxfId="19"/>
    <tableColumn id="4" xr3:uid="{8692751E-0A48-4EFF-AAA4-194999C00426}" name="จุดสั่งชื้อขั้นต่ำ" dataDxfId="18"/>
    <tableColumn id="5" xr3:uid="{22C6AFF7-06AB-4D1A-916D-1A7C1835FEC1}" name="สถานะ" dataDxfId="17">
      <calculatedColumnFormula>IF(C5&lt;=D5,"ควรสั่งชื้อ","เพียงพอ")</calculatedColumnFormula>
    </tableColumn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09ACF2-103C-49FC-97DE-B196A2E3A6B6}" name="Table3" displayName="Table3" ref="A4:J21" totalsRowShown="0" headerRowDxfId="13">
  <autoFilter ref="A4:J21" xr:uid="{0909ACF2-103C-49FC-97DE-B196A2E3A6B6}"/>
  <tableColumns count="10">
    <tableColumn id="1" xr3:uid="{A039D5C9-6F7A-4C92-A373-FEFACF275D4E}" name="รหัสนักเรียน" dataDxfId="14"/>
    <tableColumn id="2" xr3:uid="{E810F604-A22B-4192-8A48-F572F1F68FD9}" name="รายชื่อนักเรียน" dataDxfId="12"/>
    <tableColumn id="3" xr3:uid="{A1423321-6DF8-430D-BE0E-C526F78B3899}" name="วิชาภาษาไทย" dataDxfId="11"/>
    <tableColumn id="4" xr3:uid="{77E87A69-5267-46EF-98A8-EC6FA47E7F87}" name="วิชาภาษาอังกฤษ" dataDxfId="10"/>
    <tableColumn id="5" xr3:uid="{A40B0331-B3C0-4171-A67F-16E10C985A43}" name="วิชาคณิตศาสตร์" dataDxfId="9"/>
    <tableColumn id="6" xr3:uid="{85833493-6A1C-4F7F-B4B7-46C34DC73DC9}" name="วิชาพละ" dataDxfId="8"/>
    <tableColumn id="7" xr3:uid="{ABA4460C-05C2-4683-B799-F704A5134A26}" name="วิชาดนตรี" dataDxfId="7"/>
    <tableColumn id="8" xr3:uid="{D10F8884-22A7-41DE-86BF-650D1C6AE9DD}" name="วิชาศิลปะ" dataDxfId="6"/>
    <tableColumn id="9" xr3:uid="{05A900E8-50B6-4F4B-A5D9-565F790E38E3}" name="ผลรวม" dataDxfId="5">
      <calculatedColumnFormula>SUM(C5:H5)</calculatedColumnFormula>
    </tableColumn>
    <tableColumn id="10" xr3:uid="{E2562F6F-B7E1-4A8A-AC81-DA4FE632AA6D}" name="เกรดเฉลี่ยนักเรียน" dataDxfId="4">
      <calculatedColumnFormula>IF(I5&gt;=550,"A",IF(I5&gt;=450,"B", IF(I5&gt;=350,"C", IF(I5&gt;=250,"D","E"))))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1" sqref="D11"/>
    </sheetView>
  </sheetViews>
  <sheetFormatPr defaultColWidth="14.453125" defaultRowHeight="15" customHeight="1"/>
  <cols>
    <col min="1" max="1" width="16" customWidth="1"/>
    <col min="2" max="2" width="22.08984375" customWidth="1"/>
    <col min="3" max="4" width="15.453125" customWidth="1"/>
    <col min="5" max="5" width="8" customWidth="1"/>
    <col min="6" max="6" width="9.08984375" customWidth="1"/>
    <col min="7" max="26" width="8.7265625" customWidth="1"/>
  </cols>
  <sheetData>
    <row r="1" spans="1:26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45" t="s">
        <v>85</v>
      </c>
      <c r="B2" s="44"/>
      <c r="C2" s="44"/>
      <c r="D2" s="4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44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43" t="s">
        <v>0</v>
      </c>
      <c r="B5" s="43" t="s">
        <v>1</v>
      </c>
      <c r="C5" s="43" t="s">
        <v>2</v>
      </c>
      <c r="D5" s="43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2">
        <v>244381</v>
      </c>
      <c r="B6" s="1" t="s">
        <v>4</v>
      </c>
      <c r="C6" s="1">
        <v>30</v>
      </c>
      <c r="D6" s="46">
        <f>SUM(C6)</f>
        <v>30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2">
        <v>244381</v>
      </c>
      <c r="B7" s="1" t="s">
        <v>5</v>
      </c>
      <c r="C7" s="1">
        <v>10</v>
      </c>
      <c r="D7" s="46">
        <f t="shared" ref="D7:D11" si="0">SUM(D6+C7)</f>
        <v>40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2">
        <v>244381</v>
      </c>
      <c r="B8" s="1" t="s">
        <v>6</v>
      </c>
      <c r="C8" s="1">
        <v>50</v>
      </c>
      <c r="D8" s="46">
        <f t="shared" si="0"/>
        <v>90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2">
        <v>244381</v>
      </c>
      <c r="B9" s="1" t="s">
        <v>7</v>
      </c>
      <c r="C9" s="1">
        <v>18</v>
      </c>
      <c r="D9" s="46">
        <f t="shared" si="0"/>
        <v>108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2">
        <v>244381</v>
      </c>
      <c r="B10" s="1" t="s">
        <v>8</v>
      </c>
      <c r="C10" s="1">
        <v>950</v>
      </c>
      <c r="D10" s="46">
        <f t="shared" si="0"/>
        <v>1058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2">
        <v>244381</v>
      </c>
      <c r="B11" s="1" t="s">
        <v>9</v>
      </c>
      <c r="C11" s="1">
        <v>250</v>
      </c>
      <c r="D11" s="46">
        <f t="shared" si="0"/>
        <v>1308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3"/>
  </mergeCell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zoomScale="60" zoomScaleNormal="60" workbookViewId="0">
      <selection activeCell="K5" sqref="K5:K6"/>
    </sheetView>
  </sheetViews>
  <sheetFormatPr defaultColWidth="14.453125" defaultRowHeight="15" customHeight="1"/>
  <cols>
    <col min="1" max="1" width="16.81640625" customWidth="1"/>
    <col min="2" max="2" width="23.453125" customWidth="1"/>
    <col min="3" max="3" width="23.7265625" customWidth="1"/>
    <col min="4" max="4" width="21.54296875" customWidth="1"/>
    <col min="5" max="5" width="16.7265625" customWidth="1"/>
    <col min="6" max="7" width="6.6328125" customWidth="1"/>
    <col min="8" max="9" width="9.08984375" customWidth="1"/>
    <col min="10" max="11" width="16.08984375" customWidth="1"/>
    <col min="12" max="12" width="23" customWidth="1"/>
    <col min="13" max="13" width="18.26953125" customWidth="1"/>
    <col min="14" max="14" width="16.08984375" customWidth="1"/>
    <col min="15" max="15" width="11.81640625" customWidth="1"/>
    <col min="16" max="16" width="9.08984375" customWidth="1"/>
    <col min="17" max="27" width="8.7265625" customWidth="1"/>
  </cols>
  <sheetData>
    <row r="1" spans="1:27" ht="39.5" customHeight="1">
      <c r="A1" s="11" t="s">
        <v>10</v>
      </c>
      <c r="B1" s="12"/>
      <c r="C1" s="12"/>
      <c r="D1" s="12"/>
      <c r="E1" s="13"/>
      <c r="F1" s="3"/>
      <c r="G1" s="3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0.25" customHeight="1">
      <c r="A2" s="5"/>
      <c r="B2" s="5"/>
      <c r="C2" s="5"/>
      <c r="D2" s="5"/>
      <c r="E2" s="5"/>
      <c r="F2" s="5"/>
      <c r="G2" s="5"/>
      <c r="H2" s="5"/>
      <c r="I2" s="5"/>
      <c r="J2" s="17" t="s">
        <v>83</v>
      </c>
      <c r="K2" s="17"/>
      <c r="L2" s="17"/>
      <c r="M2" s="1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0.25" customHeight="1">
      <c r="A3" s="5"/>
      <c r="B3" s="5"/>
      <c r="C3" s="5"/>
      <c r="D3" s="5"/>
      <c r="E3" s="5"/>
      <c r="F3" s="5"/>
      <c r="G3" s="5"/>
      <c r="H3" s="5"/>
      <c r="I3" s="5"/>
      <c r="J3" s="17"/>
      <c r="K3" s="17"/>
      <c r="L3" s="17"/>
      <c r="M3" s="1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33" customHeight="1" thickBot="1">
      <c r="A4" s="26" t="s">
        <v>11</v>
      </c>
      <c r="B4" s="27" t="s">
        <v>12</v>
      </c>
      <c r="C4" s="27" t="s">
        <v>13</v>
      </c>
      <c r="D4" s="27" t="s">
        <v>14</v>
      </c>
      <c r="E4" s="28" t="s">
        <v>15</v>
      </c>
      <c r="F4" s="19"/>
      <c r="G4" s="19"/>
      <c r="H4" s="5"/>
      <c r="I4" s="5"/>
      <c r="J4" s="20" t="s">
        <v>11</v>
      </c>
      <c r="K4" s="16" t="s">
        <v>12</v>
      </c>
      <c r="L4" s="16" t="s">
        <v>13</v>
      </c>
      <c r="M4" s="16" t="s">
        <v>15</v>
      </c>
      <c r="N4" s="5"/>
      <c r="O4" s="14"/>
      <c r="P4" s="1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0.25" customHeight="1" thickTop="1">
      <c r="A5" s="22" t="s">
        <v>16</v>
      </c>
      <c r="B5" s="6" t="s">
        <v>17</v>
      </c>
      <c r="C5" s="6">
        <v>250</v>
      </c>
      <c r="D5" s="6">
        <v>50</v>
      </c>
      <c r="E5" s="24" t="str">
        <f t="shared" ref="E5:E24" si="0">IF(C5&lt;=D5,"ควรสั่งชื้อ","เพียงพอ")</f>
        <v>เพียงพอ</v>
      </c>
      <c r="F5" s="18"/>
      <c r="G5" s="18"/>
      <c r="H5" s="7"/>
      <c r="I5" s="5"/>
      <c r="J5" s="32" t="s">
        <v>25</v>
      </c>
      <c r="K5" s="33" t="str">
        <f>VLOOKUP(J5:J6,A5:E24,2,0)</f>
        <v>ดินสอ 2B</v>
      </c>
      <c r="L5" s="34">
        <f>VLOOKUP(J5:J6,A5:E24,3,0)</f>
        <v>50</v>
      </c>
      <c r="M5" s="35" t="str">
        <f>VLOOKUP(J5:J6,A5:E24,5,0)</f>
        <v>ควรสั่งชื้อ</v>
      </c>
      <c r="N5" s="8"/>
      <c r="O5" s="8"/>
      <c r="P5" s="8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0.25" customHeight="1" thickBot="1">
      <c r="A6" s="23" t="s">
        <v>19</v>
      </c>
      <c r="B6" s="9" t="s">
        <v>20</v>
      </c>
      <c r="C6" s="9">
        <v>120</v>
      </c>
      <c r="D6" s="9">
        <v>50</v>
      </c>
      <c r="E6" s="25" t="str">
        <f t="shared" si="0"/>
        <v>เพียงพอ</v>
      </c>
      <c r="F6" s="18"/>
      <c r="G6" s="18"/>
      <c r="H6" s="7"/>
      <c r="I6" s="5"/>
      <c r="J6" s="21"/>
      <c r="K6" s="36"/>
      <c r="L6" s="37"/>
      <c r="M6" s="38"/>
      <c r="N6" s="8"/>
      <c r="O6" s="8"/>
      <c r="P6" s="8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0.25" customHeight="1" thickTop="1">
      <c r="A7" s="23" t="s">
        <v>21</v>
      </c>
      <c r="B7" s="9" t="s">
        <v>22</v>
      </c>
      <c r="C7" s="9">
        <v>80</v>
      </c>
      <c r="D7" s="9">
        <v>50</v>
      </c>
      <c r="E7" s="25" t="str">
        <f t="shared" si="0"/>
        <v>เพียงพอ</v>
      </c>
      <c r="F7" s="18"/>
      <c r="G7" s="18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0.25" customHeight="1">
      <c r="A8" s="23" t="s">
        <v>23</v>
      </c>
      <c r="B8" s="9" t="s">
        <v>24</v>
      </c>
      <c r="C8" s="9">
        <v>40</v>
      </c>
      <c r="D8" s="9">
        <v>50</v>
      </c>
      <c r="E8" s="25" t="str">
        <f t="shared" si="0"/>
        <v>ควรสั่งชื้อ</v>
      </c>
      <c r="F8" s="18"/>
      <c r="G8" s="18"/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0.25" customHeight="1">
      <c r="A9" s="23" t="s">
        <v>25</v>
      </c>
      <c r="B9" s="9" t="s">
        <v>26</v>
      </c>
      <c r="C9" s="9">
        <v>50</v>
      </c>
      <c r="D9" s="9">
        <v>50</v>
      </c>
      <c r="E9" s="25" t="str">
        <f t="shared" si="0"/>
        <v>ควรสั่งชื้อ</v>
      </c>
      <c r="F9" s="18"/>
      <c r="G9" s="18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0.25" customHeight="1">
      <c r="A10" s="23" t="s">
        <v>27</v>
      </c>
      <c r="B10" s="9" t="s">
        <v>28</v>
      </c>
      <c r="C10" s="9">
        <v>60</v>
      </c>
      <c r="D10" s="9">
        <v>50</v>
      </c>
      <c r="E10" s="25" t="str">
        <f t="shared" si="0"/>
        <v>เพียงพอ</v>
      </c>
      <c r="F10" s="18"/>
      <c r="G10" s="18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0.25" customHeight="1">
      <c r="A11" s="23" t="s">
        <v>29</v>
      </c>
      <c r="B11" s="9" t="s">
        <v>30</v>
      </c>
      <c r="C11" s="9">
        <v>85</v>
      </c>
      <c r="D11" s="9">
        <v>50</v>
      </c>
      <c r="E11" s="25" t="str">
        <f t="shared" si="0"/>
        <v>เพียงพอ</v>
      </c>
      <c r="F11" s="18"/>
      <c r="G11" s="18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0.25" customHeight="1">
      <c r="A12" s="23" t="s">
        <v>31</v>
      </c>
      <c r="B12" s="9" t="s">
        <v>32</v>
      </c>
      <c r="C12" s="9">
        <v>35</v>
      </c>
      <c r="D12" s="9">
        <v>50</v>
      </c>
      <c r="E12" s="25" t="str">
        <f t="shared" si="0"/>
        <v>ควรสั่งชื้อ</v>
      </c>
      <c r="F12" s="18"/>
      <c r="G12" s="18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0.25" customHeight="1">
      <c r="A13" s="23" t="s">
        <v>33</v>
      </c>
      <c r="B13" s="9" t="s">
        <v>34</v>
      </c>
      <c r="C13" s="9">
        <v>40</v>
      </c>
      <c r="D13" s="9">
        <v>50</v>
      </c>
      <c r="E13" s="25" t="str">
        <f t="shared" si="0"/>
        <v>ควรสั่งชื้อ</v>
      </c>
      <c r="F13" s="18"/>
      <c r="G13" s="18"/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0.25" customHeight="1">
      <c r="A14" s="23" t="s">
        <v>35</v>
      </c>
      <c r="B14" s="9" t="s">
        <v>36</v>
      </c>
      <c r="C14" s="9">
        <v>120</v>
      </c>
      <c r="D14" s="9">
        <v>50</v>
      </c>
      <c r="E14" s="25" t="str">
        <f t="shared" si="0"/>
        <v>เพียงพอ</v>
      </c>
      <c r="F14" s="18"/>
      <c r="G14" s="18"/>
      <c r="H14" s="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0.25" customHeight="1">
      <c r="A15" s="23" t="s">
        <v>37</v>
      </c>
      <c r="B15" s="9" t="s">
        <v>38</v>
      </c>
      <c r="C15" s="9">
        <v>45</v>
      </c>
      <c r="D15" s="9">
        <v>50</v>
      </c>
      <c r="E15" s="25" t="str">
        <f t="shared" si="0"/>
        <v>ควรสั่งชื้อ</v>
      </c>
      <c r="F15" s="18"/>
      <c r="G15" s="18"/>
      <c r="H15" s="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0.25" customHeight="1">
      <c r="A16" s="23" t="s">
        <v>39</v>
      </c>
      <c r="B16" s="9" t="s">
        <v>40</v>
      </c>
      <c r="C16" s="9">
        <v>60</v>
      </c>
      <c r="D16" s="9">
        <v>50</v>
      </c>
      <c r="E16" s="25" t="str">
        <f t="shared" si="0"/>
        <v>เพียงพอ</v>
      </c>
      <c r="F16" s="18"/>
      <c r="G16" s="18"/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0.25" customHeight="1">
      <c r="A17" s="23" t="s">
        <v>41</v>
      </c>
      <c r="B17" s="9" t="s">
        <v>42</v>
      </c>
      <c r="C17" s="9">
        <v>40</v>
      </c>
      <c r="D17" s="9">
        <v>50</v>
      </c>
      <c r="E17" s="25" t="str">
        <f t="shared" si="0"/>
        <v>ควรสั่งชื้อ</v>
      </c>
      <c r="F17" s="18"/>
      <c r="G17" s="18"/>
      <c r="H17" s="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0.25" customHeight="1">
      <c r="A18" s="23" t="s">
        <v>43</v>
      </c>
      <c r="B18" s="9" t="s">
        <v>44</v>
      </c>
      <c r="C18" s="9">
        <v>30</v>
      </c>
      <c r="D18" s="9">
        <v>50</v>
      </c>
      <c r="E18" s="25" t="str">
        <f t="shared" si="0"/>
        <v>ควรสั่งชื้อ</v>
      </c>
      <c r="F18" s="18"/>
      <c r="G18" s="18"/>
      <c r="H18" s="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0.25" customHeight="1">
      <c r="A19" s="23" t="s">
        <v>45</v>
      </c>
      <c r="B19" s="9" t="s">
        <v>46</v>
      </c>
      <c r="C19" s="9">
        <v>50</v>
      </c>
      <c r="D19" s="9">
        <v>50</v>
      </c>
      <c r="E19" s="25" t="str">
        <f t="shared" si="0"/>
        <v>ควรสั่งชื้อ</v>
      </c>
      <c r="F19" s="18"/>
      <c r="G19" s="18"/>
      <c r="H19" s="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0.25" customHeight="1">
      <c r="A20" s="23" t="s">
        <v>47</v>
      </c>
      <c r="B20" s="9" t="s">
        <v>48</v>
      </c>
      <c r="C20" s="9">
        <v>20</v>
      </c>
      <c r="D20" s="9">
        <v>50</v>
      </c>
      <c r="E20" s="25" t="str">
        <f t="shared" si="0"/>
        <v>ควรสั่งชื้อ</v>
      </c>
      <c r="F20" s="18"/>
      <c r="G20" s="18"/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0.25" customHeight="1">
      <c r="A21" s="23" t="s">
        <v>49</v>
      </c>
      <c r="B21" s="9" t="s">
        <v>50</v>
      </c>
      <c r="C21" s="9">
        <v>45</v>
      </c>
      <c r="D21" s="9">
        <v>50</v>
      </c>
      <c r="E21" s="25" t="str">
        <f t="shared" si="0"/>
        <v>ควรสั่งชื้อ</v>
      </c>
      <c r="F21" s="18"/>
      <c r="G21" s="18"/>
      <c r="H21" s="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0.25" customHeight="1">
      <c r="A22" s="23" t="s">
        <v>51</v>
      </c>
      <c r="B22" s="9" t="s">
        <v>52</v>
      </c>
      <c r="C22" s="9">
        <v>62</v>
      </c>
      <c r="D22" s="9">
        <v>50</v>
      </c>
      <c r="E22" s="25" t="str">
        <f t="shared" si="0"/>
        <v>เพียงพอ</v>
      </c>
      <c r="F22" s="18"/>
      <c r="G22" s="18"/>
      <c r="H22" s="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0.25" customHeight="1">
      <c r="A23" s="23" t="s">
        <v>53</v>
      </c>
      <c r="B23" s="9" t="s">
        <v>54</v>
      </c>
      <c r="C23" s="9">
        <v>84</v>
      </c>
      <c r="D23" s="9">
        <v>50</v>
      </c>
      <c r="E23" s="25" t="str">
        <f t="shared" si="0"/>
        <v>เพียงพอ</v>
      </c>
      <c r="F23" s="18"/>
      <c r="G23" s="18"/>
      <c r="H23" s="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0.25" customHeight="1">
      <c r="A24" s="29" t="s">
        <v>18</v>
      </c>
      <c r="B24" s="30" t="s">
        <v>55</v>
      </c>
      <c r="C24" s="30">
        <v>46</v>
      </c>
      <c r="D24" s="30">
        <v>50</v>
      </c>
      <c r="E24" s="31" t="str">
        <f t="shared" si="0"/>
        <v>ควรสั่งชื้อ</v>
      </c>
      <c r="F24" s="18"/>
      <c r="G24" s="18"/>
      <c r="H24" s="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0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0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0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0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0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0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0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0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0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0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0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0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0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0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0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0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0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0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0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0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0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0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0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0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0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0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0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0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0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0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0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0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0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0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0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0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0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0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0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0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0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0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0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0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0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0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0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0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0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0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0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0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0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0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0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0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0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0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0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0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0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0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0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0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0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0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0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0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0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0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0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0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0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0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0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0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0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0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0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0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0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0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0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0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0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0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0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0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0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0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0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0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0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0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0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0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0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0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0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0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0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0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0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0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0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0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0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0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0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0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0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0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0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0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0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0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0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0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0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0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0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0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0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0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0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0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0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0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0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0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0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0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0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0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0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0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0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0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0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0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0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0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0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0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0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0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0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0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0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0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0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0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0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0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0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0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0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0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0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0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0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0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0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0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0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0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0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0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0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0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0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0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0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0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0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0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0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0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0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0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0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0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0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0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0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0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0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0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0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0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0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0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0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0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0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0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0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0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0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0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0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0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0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0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0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0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0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0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0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0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0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0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0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0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0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0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0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0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0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0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0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0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0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0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0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0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0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0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0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0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0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0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0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0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0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0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0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0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0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0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0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0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0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0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0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0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0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0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0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0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0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0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0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0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0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0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0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0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0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0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0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0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0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0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0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0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0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0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0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0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0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0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0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0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0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0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0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0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0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0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0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0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0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0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0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0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0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0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0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0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0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0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0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0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0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0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0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0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0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0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0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0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0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0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0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0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0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0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0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0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0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0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0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0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0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0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0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0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0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0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0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0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0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0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0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0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0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0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0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0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0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0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0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0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0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0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0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0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0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0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0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0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0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0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0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0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0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0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0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0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0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0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0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0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0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0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0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0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0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0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0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0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0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0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0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0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0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0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0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0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0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0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0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0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0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0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0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0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0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0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0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0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0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0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0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0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0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0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0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0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0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0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0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0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0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0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0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0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0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0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0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0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0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0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0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0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0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0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0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0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0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0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0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0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0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0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0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0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0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0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0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0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0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0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0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0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0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0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0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0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0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0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0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0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0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0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0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0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0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0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0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0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0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0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0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0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0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0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0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0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0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0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0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0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0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0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0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0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0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0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0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0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0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0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0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0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0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0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0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0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0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0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0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0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0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0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0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0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0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0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0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0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0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0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0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0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0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0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0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0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0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0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0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0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0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0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0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0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0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0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0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0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0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0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0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0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0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0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0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0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0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0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0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0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0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0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0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0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0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0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0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0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0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0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0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0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0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0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0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0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0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0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0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0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0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0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0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0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0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0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0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0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0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0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0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0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0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0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0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0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0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0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0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0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0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0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0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0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0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0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0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0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0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0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0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0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0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0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0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0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0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0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0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0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0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0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0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0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0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0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0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0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0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0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0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0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0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0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0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0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0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0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0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0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0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0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0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0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0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0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0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0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0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0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0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0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0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0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0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0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0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0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0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0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0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0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0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0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0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0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0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0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0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0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0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0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0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0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0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0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0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0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0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0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0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0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0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0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0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0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0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0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0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0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0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0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0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0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0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0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0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0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0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0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0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0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0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0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0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0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0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0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0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0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0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0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0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0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0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0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0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0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0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0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0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0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0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0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0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0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0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0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0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0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0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0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0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0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0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0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0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0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0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0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0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0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0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0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0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0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0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0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0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0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0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0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0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0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0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0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0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0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0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0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0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0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0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0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0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0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0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0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0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0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0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0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0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0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0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0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0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0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0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0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0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0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0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0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0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0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0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0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0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0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0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0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0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0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0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0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0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0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0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0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0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0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0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0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0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0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0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0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0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0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0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0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0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0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0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0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0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0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0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0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0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0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0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0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0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0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0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0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0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0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0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0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0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0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0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0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0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0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0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0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0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0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0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0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0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0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0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0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0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0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0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0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0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0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0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0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0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0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0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0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0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0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0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0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0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0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0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0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0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0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0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0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0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0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0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0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0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0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0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0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0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0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0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0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0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0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0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0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0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0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0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0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0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0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0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0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0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0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0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0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0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0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0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0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0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0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0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0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0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0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0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0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0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0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0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0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0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0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0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0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0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0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0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0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0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0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0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0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0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0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0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0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0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0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0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0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0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0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0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0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0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0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0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0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0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0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0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0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0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0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0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0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0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0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0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0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0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0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0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0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0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0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0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0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0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0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0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0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0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0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0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0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0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0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0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0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0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0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0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0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0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0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0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0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0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0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0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0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0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0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0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0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0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0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0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0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0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0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0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0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0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0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0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0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0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0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0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0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0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0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0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0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0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0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20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20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20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20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20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20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20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20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7">
    <mergeCell ref="A1:E1"/>
    <mergeCell ref="O4:P4"/>
    <mergeCell ref="J5:J6"/>
    <mergeCell ref="K5:K6"/>
    <mergeCell ref="L5:L6"/>
    <mergeCell ref="M5:M6"/>
    <mergeCell ref="J2:M3"/>
  </mergeCells>
  <conditionalFormatting sqref="E5:G5">
    <cfRule type="expression" dxfId="3" priority="1">
      <formula>$E5="ควรสั่งชื้อ"</formula>
    </cfRule>
    <cfRule type="expression" dxfId="2" priority="3">
      <formula>$E5="ควรสั่งชื้อ"</formula>
    </cfRule>
  </conditionalFormatting>
  <conditionalFormatting sqref="E5:G24">
    <cfRule type="expression" dxfId="1" priority="4">
      <formula>$E5="ควรสั่งซื้อ"</formula>
    </cfRule>
  </conditionalFormatting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tabSelected="1" zoomScale="80" zoomScaleNormal="80" workbookViewId="0">
      <selection activeCell="I6" sqref="I6"/>
    </sheetView>
  </sheetViews>
  <sheetFormatPr defaultColWidth="14.453125" defaultRowHeight="15" customHeight="1"/>
  <cols>
    <col min="1" max="1" width="10.54296875" customWidth="1"/>
    <col min="2" max="2" width="17.54296875" customWidth="1"/>
    <col min="3" max="9" width="12.90625" customWidth="1"/>
    <col min="10" max="10" width="13.08984375" customWidth="1"/>
    <col min="11" max="11" width="8.7265625" customWidth="1"/>
    <col min="12" max="12" width="19.26953125" customWidth="1"/>
    <col min="13" max="26" width="8.7265625" customWidth="1"/>
  </cols>
  <sheetData>
    <row r="1" spans="1:14" ht="15" customHeight="1">
      <c r="A1" s="42" t="s">
        <v>84</v>
      </c>
      <c r="B1" s="42"/>
      <c r="C1" s="42"/>
      <c r="D1" s="42"/>
      <c r="E1" s="42"/>
      <c r="F1" s="42"/>
      <c r="G1" s="42"/>
      <c r="H1" s="42"/>
      <c r="I1" s="42"/>
      <c r="J1" s="42"/>
    </row>
    <row r="2" spans="1:14" ht="15" customHeight="1">
      <c r="A2" s="42"/>
      <c r="B2" s="42"/>
      <c r="C2" s="42"/>
      <c r="D2" s="42"/>
      <c r="E2" s="42"/>
      <c r="F2" s="42"/>
      <c r="G2" s="42"/>
      <c r="H2" s="42"/>
      <c r="I2" s="42"/>
      <c r="J2" s="42"/>
    </row>
    <row r="4" spans="1:14" ht="14.5">
      <c r="A4" s="39" t="s">
        <v>56</v>
      </c>
      <c r="B4" s="39" t="s">
        <v>57</v>
      </c>
      <c r="C4" s="39" t="s">
        <v>58</v>
      </c>
      <c r="D4" s="39" t="s">
        <v>59</v>
      </c>
      <c r="E4" s="39" t="s">
        <v>60</v>
      </c>
      <c r="F4" s="39" t="s">
        <v>61</v>
      </c>
      <c r="G4" s="39" t="s">
        <v>62</v>
      </c>
      <c r="H4" s="39" t="s">
        <v>63</v>
      </c>
      <c r="I4" s="39" t="s">
        <v>64</v>
      </c>
      <c r="J4" s="39" t="s">
        <v>65</v>
      </c>
    </row>
    <row r="5" spans="1:14" ht="14.5">
      <c r="A5" s="10">
        <v>69001</v>
      </c>
      <c r="B5" s="10" t="s">
        <v>66</v>
      </c>
      <c r="C5" s="40">
        <v>87</v>
      </c>
      <c r="D5" s="40">
        <v>67</v>
      </c>
      <c r="E5" s="40">
        <v>90</v>
      </c>
      <c r="F5" s="40">
        <v>89</v>
      </c>
      <c r="G5" s="40">
        <v>91</v>
      </c>
      <c r="H5" s="40">
        <v>92</v>
      </c>
      <c r="I5" s="40">
        <f>SUM(C5:H5)</f>
        <v>516</v>
      </c>
      <c r="J5" s="40" t="str">
        <f>IF(I5&gt;=550,"A",IF(I5&gt;=450,"B", IF(I5&gt;=350,"C", IF(I5&gt;=250,"D","E"))))</f>
        <v>B</v>
      </c>
    </row>
    <row r="6" spans="1:14" ht="14.5">
      <c r="A6" s="10">
        <v>69002</v>
      </c>
      <c r="B6" s="10" t="s">
        <v>67</v>
      </c>
      <c r="C6" s="40">
        <v>67</v>
      </c>
      <c r="D6" s="41">
        <v>74</v>
      </c>
      <c r="E6" s="41">
        <v>85</v>
      </c>
      <c r="F6" s="41">
        <v>87</v>
      </c>
      <c r="G6" s="41">
        <v>98</v>
      </c>
      <c r="H6" s="41">
        <v>95</v>
      </c>
      <c r="I6" s="40">
        <f t="shared" ref="I6:I21" si="0">SUM(C6:H6)</f>
        <v>506</v>
      </c>
      <c r="J6" s="40" t="str">
        <f t="shared" ref="J6:J21" si="1">IF(I6&gt;=550,"A",IF(I6&gt;=450,"B", IF(I6&gt;=350,"C", IF(I6&gt;=250,"D","E"))))</f>
        <v>B</v>
      </c>
    </row>
    <row r="7" spans="1:14" ht="14.5">
      <c r="A7" s="10">
        <v>69003</v>
      </c>
      <c r="B7" s="10" t="s">
        <v>68</v>
      </c>
      <c r="C7" s="40">
        <v>84</v>
      </c>
      <c r="D7" s="41">
        <v>85</v>
      </c>
      <c r="E7" s="41">
        <v>75</v>
      </c>
      <c r="F7" s="40">
        <v>95</v>
      </c>
      <c r="G7" s="41">
        <v>89</v>
      </c>
      <c r="H7" s="41">
        <v>74</v>
      </c>
      <c r="I7" s="40">
        <f t="shared" si="0"/>
        <v>502</v>
      </c>
      <c r="J7" s="40" t="str">
        <f t="shared" si="1"/>
        <v>B</v>
      </c>
    </row>
    <row r="8" spans="1:14" ht="14.5">
      <c r="A8" s="10">
        <v>69004</v>
      </c>
      <c r="B8" s="10" t="s">
        <v>69</v>
      </c>
      <c r="C8" s="41">
        <v>74</v>
      </c>
      <c r="D8" s="41">
        <v>95</v>
      </c>
      <c r="E8" s="41">
        <v>49</v>
      </c>
      <c r="F8" s="41">
        <v>65</v>
      </c>
      <c r="G8" s="40">
        <v>84</v>
      </c>
      <c r="H8" s="41">
        <v>86</v>
      </c>
      <c r="I8" s="40">
        <f t="shared" si="0"/>
        <v>453</v>
      </c>
      <c r="J8" s="40" t="str">
        <f t="shared" si="1"/>
        <v>B</v>
      </c>
    </row>
    <row r="9" spans="1:14" ht="14.5">
      <c r="A9" s="10">
        <v>69005</v>
      </c>
      <c r="B9" s="10" t="s">
        <v>70</v>
      </c>
      <c r="C9" s="41">
        <v>65</v>
      </c>
      <c r="D9" s="41">
        <v>87</v>
      </c>
      <c r="E9" s="41">
        <v>62</v>
      </c>
      <c r="F9" s="41">
        <v>42</v>
      </c>
      <c r="G9" s="41">
        <v>75</v>
      </c>
      <c r="H9" s="40">
        <v>84</v>
      </c>
      <c r="I9" s="40">
        <f t="shared" si="0"/>
        <v>415</v>
      </c>
      <c r="J9" s="40" t="str">
        <f t="shared" si="1"/>
        <v>C</v>
      </c>
    </row>
    <row r="10" spans="1:14" ht="14.5">
      <c r="A10" s="10">
        <v>69006</v>
      </c>
      <c r="B10" s="10" t="s">
        <v>71</v>
      </c>
      <c r="C10" s="41">
        <v>86</v>
      </c>
      <c r="D10" s="41">
        <v>68</v>
      </c>
      <c r="E10" s="41">
        <v>85</v>
      </c>
      <c r="F10" s="41">
        <v>86</v>
      </c>
      <c r="G10" s="41">
        <v>95</v>
      </c>
      <c r="H10" s="41">
        <v>85</v>
      </c>
      <c r="I10" s="40">
        <f t="shared" si="0"/>
        <v>505</v>
      </c>
      <c r="J10" s="40" t="str">
        <f t="shared" si="1"/>
        <v>B</v>
      </c>
    </row>
    <row r="11" spans="1:14" ht="14.5">
      <c r="A11" s="10">
        <v>69007</v>
      </c>
      <c r="B11" s="10" t="s">
        <v>72</v>
      </c>
      <c r="C11" s="41">
        <v>93</v>
      </c>
      <c r="D11" s="41">
        <v>45</v>
      </c>
      <c r="E11" s="41">
        <v>64</v>
      </c>
      <c r="F11" s="41">
        <v>94</v>
      </c>
      <c r="G11" s="41">
        <v>75</v>
      </c>
      <c r="H11" s="41">
        <v>65</v>
      </c>
      <c r="I11" s="40">
        <f t="shared" si="0"/>
        <v>436</v>
      </c>
      <c r="J11" s="40" t="str">
        <f t="shared" si="1"/>
        <v>C</v>
      </c>
      <c r="L11" s="54" t="s">
        <v>86</v>
      </c>
      <c r="M11" s="47">
        <f>MAX(Table3[ผลรวม])</f>
        <v>526</v>
      </c>
      <c r="N11" s="48"/>
    </row>
    <row r="12" spans="1:14" ht="14.5">
      <c r="A12" s="10">
        <v>69008</v>
      </c>
      <c r="B12" s="10" t="s">
        <v>73</v>
      </c>
      <c r="C12" s="41">
        <v>73</v>
      </c>
      <c r="D12" s="41">
        <v>95</v>
      </c>
      <c r="E12" s="41">
        <v>85</v>
      </c>
      <c r="F12" s="41">
        <v>75</v>
      </c>
      <c r="G12" s="41">
        <v>95</v>
      </c>
      <c r="H12" s="41">
        <v>84</v>
      </c>
      <c r="I12" s="40">
        <f t="shared" si="0"/>
        <v>507</v>
      </c>
      <c r="J12" s="40" t="str">
        <f t="shared" si="1"/>
        <v>B</v>
      </c>
      <c r="L12" s="55"/>
      <c r="M12" s="49"/>
      <c r="N12" s="50"/>
    </row>
    <row r="13" spans="1:14" ht="14.5">
      <c r="A13" s="10">
        <v>69009</v>
      </c>
      <c r="B13" s="10" t="s">
        <v>74</v>
      </c>
      <c r="C13" s="41">
        <v>64</v>
      </c>
      <c r="D13" s="41">
        <v>68</v>
      </c>
      <c r="E13" s="40">
        <v>96</v>
      </c>
      <c r="F13" s="41">
        <v>68</v>
      </c>
      <c r="G13" s="41">
        <v>75</v>
      </c>
      <c r="H13" s="41">
        <v>62</v>
      </c>
      <c r="I13" s="40">
        <f t="shared" si="0"/>
        <v>433</v>
      </c>
      <c r="J13" s="40" t="str">
        <f t="shared" si="1"/>
        <v>C</v>
      </c>
      <c r="L13" s="54" t="s">
        <v>87</v>
      </c>
      <c r="M13" s="51">
        <f>MIN(Table3[ผลรวม])</f>
        <v>396</v>
      </c>
      <c r="N13" s="48"/>
    </row>
    <row r="14" spans="1:14" ht="14.5">
      <c r="A14" s="10">
        <v>69010</v>
      </c>
      <c r="B14" s="10" t="s">
        <v>75</v>
      </c>
      <c r="C14" s="41">
        <v>82</v>
      </c>
      <c r="D14" s="40">
        <v>25</v>
      </c>
      <c r="E14" s="41">
        <v>75</v>
      </c>
      <c r="F14" s="41">
        <v>42</v>
      </c>
      <c r="G14" s="41">
        <v>74</v>
      </c>
      <c r="H14" s="41">
        <v>98</v>
      </c>
      <c r="I14" s="40">
        <f t="shared" si="0"/>
        <v>396</v>
      </c>
      <c r="J14" s="40" t="str">
        <f t="shared" si="1"/>
        <v>C</v>
      </c>
      <c r="L14" s="56"/>
      <c r="M14" s="52"/>
      <c r="N14" s="53"/>
    </row>
    <row r="15" spans="1:14" ht="14.5">
      <c r="A15" s="10">
        <v>69011</v>
      </c>
      <c r="B15" s="10" t="s">
        <v>76</v>
      </c>
      <c r="C15" s="41">
        <v>69</v>
      </c>
      <c r="D15" s="41">
        <v>75</v>
      </c>
      <c r="E15" s="41">
        <v>84</v>
      </c>
      <c r="F15" s="41">
        <v>46</v>
      </c>
      <c r="G15" s="41">
        <v>80</v>
      </c>
      <c r="H15" s="41">
        <v>85</v>
      </c>
      <c r="I15" s="40">
        <f t="shared" si="0"/>
        <v>439</v>
      </c>
      <c r="J15" s="40" t="str">
        <f t="shared" si="1"/>
        <v>C</v>
      </c>
    </row>
    <row r="16" spans="1:14" ht="14.5">
      <c r="A16" s="10">
        <v>69012</v>
      </c>
      <c r="B16" s="10" t="s">
        <v>77</v>
      </c>
      <c r="C16" s="41">
        <v>81</v>
      </c>
      <c r="D16" s="41">
        <v>57</v>
      </c>
      <c r="E16" s="41">
        <v>95</v>
      </c>
      <c r="F16" s="41">
        <v>74</v>
      </c>
      <c r="G16" s="41">
        <v>59</v>
      </c>
      <c r="H16" s="41">
        <v>75</v>
      </c>
      <c r="I16" s="40">
        <f t="shared" si="0"/>
        <v>441</v>
      </c>
      <c r="J16" s="40" t="str">
        <f t="shared" si="1"/>
        <v>C</v>
      </c>
    </row>
    <row r="17" spans="1:16" ht="14.5">
      <c r="A17" s="10">
        <v>69013</v>
      </c>
      <c r="B17" s="10" t="s">
        <v>78</v>
      </c>
      <c r="C17" s="41">
        <v>90</v>
      </c>
      <c r="D17" s="41">
        <v>84</v>
      </c>
      <c r="E17" s="41">
        <v>74</v>
      </c>
      <c r="F17" s="41">
        <v>98</v>
      </c>
      <c r="G17" s="41">
        <v>94</v>
      </c>
      <c r="H17" s="41">
        <v>86</v>
      </c>
      <c r="I17" s="40">
        <f t="shared" si="0"/>
        <v>526</v>
      </c>
      <c r="J17" s="40" t="str">
        <f t="shared" si="1"/>
        <v>B</v>
      </c>
    </row>
    <row r="18" spans="1:16" ht="14.5">
      <c r="A18" s="10">
        <v>69014</v>
      </c>
      <c r="B18" s="10" t="s">
        <v>79</v>
      </c>
      <c r="C18" s="41">
        <v>93</v>
      </c>
      <c r="D18" s="41">
        <v>95</v>
      </c>
      <c r="E18" s="41">
        <v>85</v>
      </c>
      <c r="F18" s="41">
        <v>86</v>
      </c>
      <c r="G18" s="41">
        <v>65</v>
      </c>
      <c r="H18" s="41">
        <v>74</v>
      </c>
      <c r="I18" s="40">
        <f t="shared" si="0"/>
        <v>498</v>
      </c>
      <c r="J18" s="40" t="str">
        <f t="shared" si="1"/>
        <v>B</v>
      </c>
    </row>
    <row r="19" spans="1:16" ht="14.5">
      <c r="A19" s="10">
        <v>69015</v>
      </c>
      <c r="B19" s="10" t="s">
        <v>80</v>
      </c>
      <c r="C19" s="41">
        <v>72</v>
      </c>
      <c r="D19" s="41">
        <v>68</v>
      </c>
      <c r="E19" s="41">
        <v>96</v>
      </c>
      <c r="F19" s="41">
        <v>49</v>
      </c>
      <c r="G19" s="41">
        <v>81</v>
      </c>
      <c r="H19" s="41">
        <v>94</v>
      </c>
      <c r="I19" s="40">
        <f t="shared" si="0"/>
        <v>460</v>
      </c>
      <c r="J19" s="40" t="str">
        <f t="shared" si="1"/>
        <v>B</v>
      </c>
    </row>
    <row r="20" spans="1:16" ht="14.5">
      <c r="A20" s="10">
        <v>69016</v>
      </c>
      <c r="B20" s="10" t="s">
        <v>81</v>
      </c>
      <c r="C20" s="41">
        <v>45</v>
      </c>
      <c r="D20" s="41">
        <v>75</v>
      </c>
      <c r="E20" s="41">
        <v>82</v>
      </c>
      <c r="F20" s="41">
        <v>95</v>
      </c>
      <c r="G20" s="41">
        <v>85</v>
      </c>
      <c r="H20" s="41">
        <v>86</v>
      </c>
      <c r="I20" s="40">
        <f t="shared" si="0"/>
        <v>468</v>
      </c>
      <c r="J20" s="40" t="str">
        <f t="shared" si="1"/>
        <v>B</v>
      </c>
      <c r="O20" s="57"/>
      <c r="P20" s="57"/>
    </row>
    <row r="21" spans="1:16" ht="14.5">
      <c r="A21" s="10">
        <v>69017</v>
      </c>
      <c r="B21" s="10" t="s">
        <v>82</v>
      </c>
      <c r="C21" s="41">
        <v>58</v>
      </c>
      <c r="D21" s="41">
        <v>60</v>
      </c>
      <c r="E21" s="41">
        <v>80</v>
      </c>
      <c r="F21" s="41">
        <v>75</v>
      </c>
      <c r="G21" s="41">
        <v>74</v>
      </c>
      <c r="H21" s="41">
        <v>78</v>
      </c>
      <c r="I21" s="40">
        <f t="shared" si="0"/>
        <v>425</v>
      </c>
      <c r="J21" s="40" t="str">
        <f t="shared" si="1"/>
        <v>C</v>
      </c>
    </row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J2"/>
    <mergeCell ref="L11:L12"/>
    <mergeCell ref="L13:L14"/>
    <mergeCell ref="M11:N12"/>
    <mergeCell ref="M13:N14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ระบบบันทึกค่าใช้จ่ายรายวัน</vt:lpstr>
      <vt:lpstr>ระบบจัดการสต๊อกสินค้า</vt:lpstr>
      <vt:lpstr>ผลรวมและค่าเกรดเฉลี่นนักเรียน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Wichaen Cherdjangreed</dc:creator>
  <cp:lastModifiedBy>HP ProBook 640 G8</cp:lastModifiedBy>
  <dcterms:created xsi:type="dcterms:W3CDTF">2015-06-05T18:17:20Z</dcterms:created>
  <dcterms:modified xsi:type="dcterms:W3CDTF">2026-05-24T03:53:50Z</dcterms:modified>
</cp:coreProperties>
</file>